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ead Strategy" sheetId="1" r:id="rId4"/>
    <sheet state="visible" name="Butterfly Strategy - 1" sheetId="2" r:id="rId5"/>
    <sheet state="visible" name="Condor Strategy" sheetId="3" r:id="rId6"/>
    <sheet state="visible" name="Butterfly Strategy - 2" sheetId="4" r:id="rId7"/>
  </sheets>
  <definedNames/>
  <calcPr/>
</workbook>
</file>

<file path=xl/sharedStrings.xml><?xml version="1.0" encoding="utf-8"?>
<sst xmlns="http://schemas.openxmlformats.org/spreadsheetml/2006/main" count="86" uniqueCount="13">
  <si>
    <t>Current Price of Underlying Asset</t>
  </si>
  <si>
    <t>As of 9th July 2023</t>
  </si>
  <si>
    <t>Position 1</t>
  </si>
  <si>
    <t>Long 1 Call Option Contract</t>
  </si>
  <si>
    <t>Strike Price</t>
  </si>
  <si>
    <t>Call Premium</t>
  </si>
  <si>
    <t>Position 2</t>
  </si>
  <si>
    <t>Short 1 Call Option Contract</t>
  </si>
  <si>
    <t>Stock Price</t>
  </si>
  <si>
    <t>Net</t>
  </si>
  <si>
    <t>Position 3</t>
  </si>
  <si>
    <t>Position 4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</si>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</sst>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Net Profit using Spread Strategy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'Spread Strategy'!$A$7:$A$36</c:f>
            </c:strRef>
          </c:cat>
          <c:val>
            <c:numRef>
              <c:f>'Spread Strategy'!$D$7:$D$41</c:f>
              <c:numCache/>
            </c:numRef>
          </c:val>
          <c:smooth val="0"/>
        </c:ser>
        <c:axId val="756555566"/>
        <c:axId val="670491004"/>
      </c:lineChart>
      <c:catAx>
        <c:axId val="756555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491004"/>
      </c:catAx>
      <c:valAx>
        <c:axId val="670491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555566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Net Profit using Butterfly Strategy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'Butterfly Strategy - 1'!$A$9:$A$64</c:f>
            </c:strRef>
          </c:cat>
          <c:val>
            <c:numRef>
              <c:f>'Butterfly Strategy - 1'!$F$9:$F$64</c:f>
              <c:numCache/>
            </c:numRef>
          </c:val>
          <c:smooth val="0"/>
        </c:ser>
        <c:axId val="741878835"/>
        <c:axId val="1078803453"/>
      </c:lineChart>
      <c:catAx>
        <c:axId val="741878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0" sz="1400">
                    <a:solidFill>
                      <a:schemeClr val="dk1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803453"/>
      </c:catAx>
      <c:valAx>
        <c:axId val="1078803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0" sz="1400">
                    <a:solidFill>
                      <a:schemeClr val="dk1"/>
                    </a:solidFill>
                    <a:latin typeface="+mn-lt"/>
                  </a:rPr>
                  <a:t>Net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878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Net Profit using Condor Strategy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'Condor Strategy'!$A$9:$A$27</c:f>
            </c:strRef>
          </c:cat>
          <c:val>
            <c:numRef>
              <c:f>'Condor Strategy'!$F$9:$F$27</c:f>
              <c:numCache/>
            </c:numRef>
          </c:val>
          <c:smooth val="0"/>
        </c:ser>
        <c:axId val="581696247"/>
        <c:axId val="1394813901"/>
      </c:lineChart>
      <c:catAx>
        <c:axId val="581696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0" sz="1400">
                    <a:solidFill>
                      <a:schemeClr val="dk1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813901"/>
      </c:catAx>
      <c:valAx>
        <c:axId val="1394813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0" sz="1400">
                    <a:solidFill>
                      <a:schemeClr val="dk1"/>
                    </a:solidFill>
                    <a:latin typeface="+mn-lt"/>
                  </a:rPr>
                  <a:t>Net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6962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'Butterfly Strategy - 2'!$A$9:$A$26</c:f>
            </c:strRef>
          </c:cat>
          <c:val>
            <c:numRef>
              <c:f>'Butterfly Strategy - 2'!$F$9:$F$26</c:f>
              <c:numCache/>
            </c:numRef>
          </c:val>
          <c:smooth val="0"/>
        </c:ser>
        <c:axId val="1603299318"/>
        <c:axId val="747252476"/>
      </c:lineChart>
      <c:catAx>
        <c:axId val="1603299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252476"/>
      </c:catAx>
      <c:valAx>
        <c:axId val="747252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2993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752475</xdr:colOff>
      <xdr:row>5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552450</xdr:colOff>
      <xdr:row>0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676275</xdr:colOff>
      <xdr:row>8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>
        <v>1659.9</v>
      </c>
      <c r="D1" s="1" t="s">
        <v>1</v>
      </c>
    </row>
    <row r="2">
      <c r="A2" s="1"/>
      <c r="C2" s="1"/>
    </row>
    <row r="3">
      <c r="A3" s="2" t="s">
        <v>2</v>
      </c>
      <c r="B3" s="1" t="s">
        <v>3</v>
      </c>
      <c r="D3" s="1" t="s">
        <v>4</v>
      </c>
      <c r="E3" s="1">
        <v>1600.0</v>
      </c>
      <c r="F3" s="1" t="s">
        <v>5</v>
      </c>
      <c r="G3" s="1">
        <v>69.4</v>
      </c>
    </row>
    <row r="4">
      <c r="A4" s="2" t="s">
        <v>6</v>
      </c>
      <c r="B4" s="1" t="s">
        <v>7</v>
      </c>
      <c r="D4" s="1" t="s">
        <v>4</v>
      </c>
      <c r="E4" s="1">
        <v>1590.0</v>
      </c>
      <c r="F4" s="1" t="s">
        <v>5</v>
      </c>
      <c r="G4" s="1">
        <v>109.35</v>
      </c>
    </row>
    <row r="6">
      <c r="A6" s="1" t="s">
        <v>8</v>
      </c>
      <c r="B6" s="1" t="s">
        <v>2</v>
      </c>
      <c r="C6" s="1" t="s">
        <v>6</v>
      </c>
      <c r="D6" s="1" t="s">
        <v>9</v>
      </c>
    </row>
    <row r="7">
      <c r="A7" s="1">
        <v>1500.0</v>
      </c>
      <c r="B7" s="3">
        <f t="shared" ref="B7:B25" si="1">-$G$3</f>
        <v>-69.4</v>
      </c>
      <c r="C7" s="3">
        <f t="shared" ref="C7:C16" si="2">$G$4</f>
        <v>109.35</v>
      </c>
      <c r="D7" s="3">
        <f t="shared" ref="D7:D36" si="3">B7+C7</f>
        <v>39.95</v>
      </c>
    </row>
    <row r="8">
      <c r="A8" s="1">
        <f t="shared" ref="A8:A16" si="4">A7+10</f>
        <v>1510</v>
      </c>
      <c r="B8" s="3">
        <f t="shared" si="1"/>
        <v>-69.4</v>
      </c>
      <c r="C8" s="3">
        <f t="shared" si="2"/>
        <v>109.35</v>
      </c>
      <c r="D8" s="3">
        <f t="shared" si="3"/>
        <v>39.95</v>
      </c>
    </row>
    <row r="9">
      <c r="A9" s="1">
        <f t="shared" si="4"/>
        <v>1520</v>
      </c>
      <c r="B9" s="3">
        <f t="shared" si="1"/>
        <v>-69.4</v>
      </c>
      <c r="C9" s="3">
        <f t="shared" si="2"/>
        <v>109.35</v>
      </c>
      <c r="D9" s="3">
        <f t="shared" si="3"/>
        <v>39.95</v>
      </c>
    </row>
    <row r="10">
      <c r="A10" s="1">
        <f t="shared" si="4"/>
        <v>1530</v>
      </c>
      <c r="B10" s="3">
        <f t="shared" si="1"/>
        <v>-69.4</v>
      </c>
      <c r="C10" s="3">
        <f t="shared" si="2"/>
        <v>109.35</v>
      </c>
      <c r="D10" s="3">
        <f t="shared" si="3"/>
        <v>39.95</v>
      </c>
    </row>
    <row r="11">
      <c r="A11" s="1">
        <f t="shared" si="4"/>
        <v>1540</v>
      </c>
      <c r="B11" s="3">
        <f t="shared" si="1"/>
        <v>-69.4</v>
      </c>
      <c r="C11" s="3">
        <f t="shared" si="2"/>
        <v>109.35</v>
      </c>
      <c r="D11" s="3">
        <f t="shared" si="3"/>
        <v>39.95</v>
      </c>
    </row>
    <row r="12">
      <c r="A12" s="1">
        <f t="shared" si="4"/>
        <v>1550</v>
      </c>
      <c r="B12" s="3">
        <f t="shared" si="1"/>
        <v>-69.4</v>
      </c>
      <c r="C12" s="3">
        <f t="shared" si="2"/>
        <v>109.35</v>
      </c>
      <c r="D12" s="3">
        <f t="shared" si="3"/>
        <v>39.95</v>
      </c>
    </row>
    <row r="13">
      <c r="A13" s="1">
        <f t="shared" si="4"/>
        <v>1560</v>
      </c>
      <c r="B13" s="3">
        <f t="shared" si="1"/>
        <v>-69.4</v>
      </c>
      <c r="C13" s="3">
        <f t="shared" si="2"/>
        <v>109.35</v>
      </c>
      <c r="D13" s="3">
        <f t="shared" si="3"/>
        <v>39.95</v>
      </c>
    </row>
    <row r="14">
      <c r="A14" s="1">
        <f t="shared" si="4"/>
        <v>1570</v>
      </c>
      <c r="B14" s="3">
        <f t="shared" si="1"/>
        <v>-69.4</v>
      </c>
      <c r="C14" s="3">
        <f t="shared" si="2"/>
        <v>109.35</v>
      </c>
      <c r="D14" s="3">
        <f t="shared" si="3"/>
        <v>39.95</v>
      </c>
    </row>
    <row r="15">
      <c r="A15" s="1">
        <f t="shared" si="4"/>
        <v>1580</v>
      </c>
      <c r="B15" s="3">
        <f t="shared" si="1"/>
        <v>-69.4</v>
      </c>
      <c r="C15" s="3">
        <f t="shared" si="2"/>
        <v>109.35</v>
      </c>
      <c r="D15" s="3">
        <f t="shared" si="3"/>
        <v>39.95</v>
      </c>
    </row>
    <row r="16">
      <c r="A16" s="1">
        <f t="shared" si="4"/>
        <v>1590</v>
      </c>
      <c r="B16" s="3">
        <f t="shared" si="1"/>
        <v>-69.4</v>
      </c>
      <c r="C16" s="3">
        <f t="shared" si="2"/>
        <v>109.35</v>
      </c>
      <c r="D16" s="3">
        <f t="shared" si="3"/>
        <v>39.95</v>
      </c>
    </row>
    <row r="17">
      <c r="A17" s="1">
        <f t="shared" ref="A17:A25" si="5">A16+1</f>
        <v>1591</v>
      </c>
      <c r="B17" s="3">
        <f t="shared" si="1"/>
        <v>-69.4</v>
      </c>
      <c r="C17" s="3">
        <f t="shared" ref="C17:C25" si="6">$C$16-(A17-$E$4)</f>
        <v>108.35</v>
      </c>
      <c r="D17" s="3">
        <f t="shared" si="3"/>
        <v>38.95</v>
      </c>
    </row>
    <row r="18">
      <c r="A18" s="1">
        <f t="shared" si="5"/>
        <v>1592</v>
      </c>
      <c r="B18" s="3">
        <f t="shared" si="1"/>
        <v>-69.4</v>
      </c>
      <c r="C18" s="3">
        <f t="shared" si="6"/>
        <v>107.35</v>
      </c>
      <c r="D18" s="3">
        <f t="shared" si="3"/>
        <v>37.95</v>
      </c>
    </row>
    <row r="19">
      <c r="A19" s="1">
        <f t="shared" si="5"/>
        <v>1593</v>
      </c>
      <c r="B19" s="3">
        <f t="shared" si="1"/>
        <v>-69.4</v>
      </c>
      <c r="C19" s="3">
        <f t="shared" si="6"/>
        <v>106.35</v>
      </c>
      <c r="D19" s="3">
        <f t="shared" si="3"/>
        <v>36.95</v>
      </c>
    </row>
    <row r="20">
      <c r="A20" s="1">
        <f t="shared" si="5"/>
        <v>1594</v>
      </c>
      <c r="B20" s="3">
        <f t="shared" si="1"/>
        <v>-69.4</v>
      </c>
      <c r="C20" s="3">
        <f t="shared" si="6"/>
        <v>105.35</v>
      </c>
      <c r="D20" s="3">
        <f t="shared" si="3"/>
        <v>35.95</v>
      </c>
    </row>
    <row r="21">
      <c r="A21" s="1">
        <f t="shared" si="5"/>
        <v>1595</v>
      </c>
      <c r="B21" s="3">
        <f t="shared" si="1"/>
        <v>-69.4</v>
      </c>
      <c r="C21" s="3">
        <f t="shared" si="6"/>
        <v>104.35</v>
      </c>
      <c r="D21" s="3">
        <f t="shared" si="3"/>
        <v>34.95</v>
      </c>
    </row>
    <row r="22">
      <c r="A22" s="1">
        <f t="shared" si="5"/>
        <v>1596</v>
      </c>
      <c r="B22" s="3">
        <f t="shared" si="1"/>
        <v>-69.4</v>
      </c>
      <c r="C22" s="3">
        <f t="shared" si="6"/>
        <v>103.35</v>
      </c>
      <c r="D22" s="3">
        <f t="shared" si="3"/>
        <v>33.95</v>
      </c>
    </row>
    <row r="23">
      <c r="A23" s="1">
        <f t="shared" si="5"/>
        <v>1597</v>
      </c>
      <c r="B23" s="3">
        <f t="shared" si="1"/>
        <v>-69.4</v>
      </c>
      <c r="C23" s="3">
        <f t="shared" si="6"/>
        <v>102.35</v>
      </c>
      <c r="D23" s="3">
        <f t="shared" si="3"/>
        <v>32.95</v>
      </c>
    </row>
    <row r="24">
      <c r="A24" s="1">
        <f t="shared" si="5"/>
        <v>1598</v>
      </c>
      <c r="B24" s="3">
        <f t="shared" si="1"/>
        <v>-69.4</v>
      </c>
      <c r="C24" s="3">
        <f t="shared" si="6"/>
        <v>101.35</v>
      </c>
      <c r="D24" s="3">
        <f t="shared" si="3"/>
        <v>31.95</v>
      </c>
    </row>
    <row r="25">
      <c r="A25" s="1">
        <f t="shared" si="5"/>
        <v>1599</v>
      </c>
      <c r="B25" s="3">
        <f t="shared" si="1"/>
        <v>-69.4</v>
      </c>
      <c r="C25" s="3">
        <f t="shared" si="6"/>
        <v>100.35</v>
      </c>
      <c r="D25" s="3">
        <f t="shared" si="3"/>
        <v>30.95</v>
      </c>
    </row>
    <row r="26">
      <c r="A26" s="1">
        <f>A16+10</f>
        <v>1600</v>
      </c>
      <c r="B26" s="1">
        <v>-69.4</v>
      </c>
      <c r="C26" s="3">
        <f>C16-10</f>
        <v>99.35</v>
      </c>
      <c r="D26" s="3">
        <f t="shared" si="3"/>
        <v>29.95</v>
      </c>
    </row>
    <row r="27">
      <c r="A27" s="1">
        <f t="shared" ref="A27:B27" si="7">A26+10</f>
        <v>1610</v>
      </c>
      <c r="B27" s="3">
        <f t="shared" si="7"/>
        <v>-59.4</v>
      </c>
      <c r="C27" s="3">
        <f t="shared" ref="C27:C36" si="9">C26-10</f>
        <v>89.35</v>
      </c>
      <c r="D27" s="3">
        <f t="shared" si="3"/>
        <v>29.95</v>
      </c>
    </row>
    <row r="28">
      <c r="A28" s="1">
        <f t="shared" ref="A28:B28" si="8">A27+10</f>
        <v>1620</v>
      </c>
      <c r="B28" s="3">
        <f t="shared" si="8"/>
        <v>-49.4</v>
      </c>
      <c r="C28" s="3">
        <f t="shared" si="9"/>
        <v>79.35</v>
      </c>
      <c r="D28" s="3">
        <f t="shared" si="3"/>
        <v>29.95</v>
      </c>
    </row>
    <row r="29">
      <c r="A29" s="1">
        <f t="shared" ref="A29:B29" si="10">A28+10</f>
        <v>1630</v>
      </c>
      <c r="B29" s="3">
        <f t="shared" si="10"/>
        <v>-39.4</v>
      </c>
      <c r="C29" s="3">
        <f t="shared" si="9"/>
        <v>69.35</v>
      </c>
      <c r="D29" s="3">
        <f t="shared" si="3"/>
        <v>29.95</v>
      </c>
    </row>
    <row r="30">
      <c r="A30" s="1">
        <f t="shared" ref="A30:B30" si="11">A29+10</f>
        <v>1640</v>
      </c>
      <c r="B30" s="3">
        <f t="shared" si="11"/>
        <v>-29.4</v>
      </c>
      <c r="C30" s="3">
        <f t="shared" si="9"/>
        <v>59.35</v>
      </c>
      <c r="D30" s="3">
        <f t="shared" si="3"/>
        <v>29.95</v>
      </c>
    </row>
    <row r="31">
      <c r="A31" s="1">
        <f t="shared" ref="A31:B31" si="12">A30+10</f>
        <v>1650</v>
      </c>
      <c r="B31" s="3">
        <f t="shared" si="12"/>
        <v>-19.4</v>
      </c>
      <c r="C31" s="3">
        <f t="shared" si="9"/>
        <v>49.35</v>
      </c>
      <c r="D31" s="3">
        <f t="shared" si="3"/>
        <v>29.95</v>
      </c>
    </row>
    <row r="32">
      <c r="A32" s="1">
        <f t="shared" ref="A32:B32" si="13">A31+10</f>
        <v>1660</v>
      </c>
      <c r="B32" s="3">
        <f t="shared" si="13"/>
        <v>-9.4</v>
      </c>
      <c r="C32" s="3">
        <f t="shared" si="9"/>
        <v>39.35</v>
      </c>
      <c r="D32" s="3">
        <f t="shared" si="3"/>
        <v>29.95</v>
      </c>
    </row>
    <row r="33">
      <c r="A33" s="1">
        <f t="shared" ref="A33:B33" si="14">A32+10</f>
        <v>1670</v>
      </c>
      <c r="B33" s="3">
        <f t="shared" si="14"/>
        <v>0.6</v>
      </c>
      <c r="C33" s="3">
        <f t="shared" si="9"/>
        <v>29.35</v>
      </c>
      <c r="D33" s="3">
        <f t="shared" si="3"/>
        <v>29.95</v>
      </c>
    </row>
    <row r="34">
      <c r="A34" s="1">
        <f t="shared" ref="A34:B34" si="15">A33+10</f>
        <v>1680</v>
      </c>
      <c r="B34" s="3">
        <f t="shared" si="15"/>
        <v>10.6</v>
      </c>
      <c r="C34" s="3">
        <f t="shared" si="9"/>
        <v>19.35</v>
      </c>
      <c r="D34" s="3">
        <f t="shared" si="3"/>
        <v>29.95</v>
      </c>
    </row>
    <row r="35">
      <c r="A35" s="1">
        <f t="shared" ref="A35:B35" si="16">A34+10</f>
        <v>1690</v>
      </c>
      <c r="B35" s="3">
        <f t="shared" si="16"/>
        <v>20.6</v>
      </c>
      <c r="C35" s="3">
        <f t="shared" si="9"/>
        <v>9.35</v>
      </c>
      <c r="D35" s="3">
        <f t="shared" si="3"/>
        <v>29.95</v>
      </c>
    </row>
    <row r="36">
      <c r="A36" s="1">
        <f t="shared" ref="A36:B36" si="17">A35+10</f>
        <v>1700</v>
      </c>
      <c r="B36" s="3">
        <f t="shared" si="17"/>
        <v>30.6</v>
      </c>
      <c r="C36" s="3">
        <f t="shared" si="9"/>
        <v>-0.65</v>
      </c>
      <c r="D36" s="3">
        <f t="shared" si="3"/>
        <v>29.95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</cols>
  <sheetData>
    <row r="1">
      <c r="A1" s="1" t="s">
        <v>0</v>
      </c>
      <c r="C1" s="1">
        <v>1659.9</v>
      </c>
      <c r="D1" s="1" t="s">
        <v>1</v>
      </c>
    </row>
    <row r="2">
      <c r="A2" s="1"/>
      <c r="C2" s="1"/>
    </row>
    <row r="3">
      <c r="A3" s="2" t="s">
        <v>2</v>
      </c>
      <c r="B3" s="1" t="s">
        <v>7</v>
      </c>
      <c r="D3" s="1" t="s">
        <v>4</v>
      </c>
      <c r="E3" s="1">
        <v>1590.0</v>
      </c>
      <c r="F3" s="1" t="s">
        <v>5</v>
      </c>
      <c r="G3" s="1">
        <v>109.35</v>
      </c>
    </row>
    <row r="4">
      <c r="A4" s="2" t="s">
        <v>6</v>
      </c>
      <c r="B4" s="1" t="s">
        <v>3</v>
      </c>
      <c r="D4" s="1" t="s">
        <v>4</v>
      </c>
      <c r="E4" s="1">
        <v>1610.0</v>
      </c>
      <c r="F4" s="1" t="s">
        <v>5</v>
      </c>
      <c r="G4" s="1">
        <v>-61.55</v>
      </c>
    </row>
    <row r="5">
      <c r="A5" s="2" t="s">
        <v>10</v>
      </c>
      <c r="B5" s="1" t="s">
        <v>3</v>
      </c>
      <c r="D5" s="1" t="s">
        <v>4</v>
      </c>
      <c r="E5" s="1">
        <v>1610.0</v>
      </c>
      <c r="F5" s="1" t="s">
        <v>5</v>
      </c>
      <c r="G5" s="1">
        <v>-61.55</v>
      </c>
    </row>
    <row r="6">
      <c r="A6" s="2" t="s">
        <v>11</v>
      </c>
      <c r="B6" s="1" t="s">
        <v>7</v>
      </c>
      <c r="D6" s="1" t="s">
        <v>4</v>
      </c>
      <c r="E6" s="1">
        <v>1630.0</v>
      </c>
      <c r="F6" s="1" t="s">
        <v>5</v>
      </c>
      <c r="G6" s="1">
        <v>46.45</v>
      </c>
    </row>
    <row r="8">
      <c r="A8" s="1" t="s">
        <v>8</v>
      </c>
      <c r="B8" s="1" t="s">
        <v>2</v>
      </c>
      <c r="C8" s="1" t="s">
        <v>6</v>
      </c>
      <c r="D8" s="1" t="s">
        <v>10</v>
      </c>
      <c r="E8" s="1" t="s">
        <v>11</v>
      </c>
      <c r="F8" s="1" t="s">
        <v>12</v>
      </c>
    </row>
    <row r="9">
      <c r="A9" s="1">
        <v>1550.0</v>
      </c>
      <c r="B9" s="3">
        <f t="shared" ref="B9:B12" si="1">$G$3</f>
        <v>109.35</v>
      </c>
      <c r="C9" s="3">
        <f t="shared" ref="C9:C32" si="2">$G$4</f>
        <v>-61.55</v>
      </c>
      <c r="D9" s="3">
        <f t="shared" ref="D9:D32" si="3">$G$5</f>
        <v>-61.55</v>
      </c>
      <c r="E9" s="3">
        <f t="shared" ref="E9:E52" si="4">$G$6</f>
        <v>46.45</v>
      </c>
      <c r="F9" s="3">
        <f t="shared" ref="F9:F57" si="5">sum(B9:E9)</f>
        <v>32.7</v>
      </c>
    </row>
    <row r="10">
      <c r="A10" s="1">
        <v>1560.0</v>
      </c>
      <c r="B10" s="3">
        <f t="shared" si="1"/>
        <v>109.35</v>
      </c>
      <c r="C10" s="3">
        <f t="shared" si="2"/>
        <v>-61.55</v>
      </c>
      <c r="D10" s="3">
        <f t="shared" si="3"/>
        <v>-61.55</v>
      </c>
      <c r="E10" s="3">
        <f t="shared" si="4"/>
        <v>46.45</v>
      </c>
      <c r="F10" s="3">
        <f t="shared" si="5"/>
        <v>32.7</v>
      </c>
    </row>
    <row r="11">
      <c r="A11" s="1">
        <v>1570.0</v>
      </c>
      <c r="B11" s="3">
        <f t="shared" si="1"/>
        <v>109.35</v>
      </c>
      <c r="C11" s="3">
        <f t="shared" si="2"/>
        <v>-61.55</v>
      </c>
      <c r="D11" s="3">
        <f t="shared" si="3"/>
        <v>-61.55</v>
      </c>
      <c r="E11" s="3">
        <f t="shared" si="4"/>
        <v>46.45</v>
      </c>
      <c r="F11" s="3">
        <f t="shared" si="5"/>
        <v>32.7</v>
      </c>
    </row>
    <row r="12">
      <c r="A12" s="3">
        <f t="shared" ref="A12:A13" si="6">A11+10</f>
        <v>1580</v>
      </c>
      <c r="B12" s="3">
        <f t="shared" si="1"/>
        <v>109.35</v>
      </c>
      <c r="C12" s="3">
        <f t="shared" si="2"/>
        <v>-61.55</v>
      </c>
      <c r="D12" s="3">
        <f t="shared" si="3"/>
        <v>-61.55</v>
      </c>
      <c r="E12" s="3">
        <f t="shared" si="4"/>
        <v>46.45</v>
      </c>
      <c r="F12" s="3">
        <f t="shared" si="5"/>
        <v>32.7</v>
      </c>
    </row>
    <row r="13">
      <c r="A13" s="3">
        <f t="shared" si="6"/>
        <v>1590</v>
      </c>
      <c r="B13" s="3">
        <f t="shared" ref="B13:B57" si="7">$E$3-A13+$G$3</f>
        <v>109.35</v>
      </c>
      <c r="C13" s="3">
        <f t="shared" si="2"/>
        <v>-61.55</v>
      </c>
      <c r="D13" s="3">
        <f t="shared" si="3"/>
        <v>-61.55</v>
      </c>
      <c r="E13" s="3">
        <f t="shared" si="4"/>
        <v>46.45</v>
      </c>
      <c r="F13" s="3">
        <f t="shared" si="5"/>
        <v>32.7</v>
      </c>
    </row>
    <row r="14">
      <c r="A14" s="3">
        <f t="shared" ref="A14:A22" si="8">A13+1</f>
        <v>1591</v>
      </c>
      <c r="B14" s="3">
        <f t="shared" si="7"/>
        <v>108.35</v>
      </c>
      <c r="C14" s="3">
        <f t="shared" si="2"/>
        <v>-61.55</v>
      </c>
      <c r="D14" s="3">
        <f t="shared" si="3"/>
        <v>-61.55</v>
      </c>
      <c r="E14" s="3">
        <f t="shared" si="4"/>
        <v>46.45</v>
      </c>
      <c r="F14" s="3">
        <f t="shared" si="5"/>
        <v>31.7</v>
      </c>
    </row>
    <row r="15">
      <c r="A15" s="3">
        <f t="shared" si="8"/>
        <v>1592</v>
      </c>
      <c r="B15" s="3">
        <f t="shared" si="7"/>
        <v>107.35</v>
      </c>
      <c r="C15" s="3">
        <f t="shared" si="2"/>
        <v>-61.55</v>
      </c>
      <c r="D15" s="3">
        <f t="shared" si="3"/>
        <v>-61.55</v>
      </c>
      <c r="E15" s="3">
        <f t="shared" si="4"/>
        <v>46.45</v>
      </c>
      <c r="F15" s="3">
        <f t="shared" si="5"/>
        <v>30.7</v>
      </c>
    </row>
    <row r="16">
      <c r="A16" s="3">
        <f t="shared" si="8"/>
        <v>1593</v>
      </c>
      <c r="B16" s="3">
        <f t="shared" si="7"/>
        <v>106.35</v>
      </c>
      <c r="C16" s="3">
        <f t="shared" si="2"/>
        <v>-61.55</v>
      </c>
      <c r="D16" s="3">
        <f t="shared" si="3"/>
        <v>-61.55</v>
      </c>
      <c r="E16" s="3">
        <f t="shared" si="4"/>
        <v>46.45</v>
      </c>
      <c r="F16" s="3">
        <f t="shared" si="5"/>
        <v>29.7</v>
      </c>
    </row>
    <row r="17">
      <c r="A17" s="3">
        <f t="shared" si="8"/>
        <v>1594</v>
      </c>
      <c r="B17" s="3">
        <f t="shared" si="7"/>
        <v>105.35</v>
      </c>
      <c r="C17" s="3">
        <f t="shared" si="2"/>
        <v>-61.55</v>
      </c>
      <c r="D17" s="3">
        <f t="shared" si="3"/>
        <v>-61.55</v>
      </c>
      <c r="E17" s="3">
        <f t="shared" si="4"/>
        <v>46.45</v>
      </c>
      <c r="F17" s="3">
        <f t="shared" si="5"/>
        <v>28.7</v>
      </c>
    </row>
    <row r="18">
      <c r="A18" s="3">
        <f t="shared" si="8"/>
        <v>1595</v>
      </c>
      <c r="B18" s="3">
        <f t="shared" si="7"/>
        <v>104.35</v>
      </c>
      <c r="C18" s="3">
        <f t="shared" si="2"/>
        <v>-61.55</v>
      </c>
      <c r="D18" s="3">
        <f t="shared" si="3"/>
        <v>-61.55</v>
      </c>
      <c r="E18" s="3">
        <f t="shared" si="4"/>
        <v>46.45</v>
      </c>
      <c r="F18" s="3">
        <f t="shared" si="5"/>
        <v>27.7</v>
      </c>
    </row>
    <row r="19">
      <c r="A19" s="3">
        <f t="shared" si="8"/>
        <v>1596</v>
      </c>
      <c r="B19" s="3">
        <f t="shared" si="7"/>
        <v>103.35</v>
      </c>
      <c r="C19" s="3">
        <f t="shared" si="2"/>
        <v>-61.55</v>
      </c>
      <c r="D19" s="3">
        <f t="shared" si="3"/>
        <v>-61.55</v>
      </c>
      <c r="E19" s="3">
        <f t="shared" si="4"/>
        <v>46.45</v>
      </c>
      <c r="F19" s="3">
        <f t="shared" si="5"/>
        <v>26.7</v>
      </c>
    </row>
    <row r="20">
      <c r="A20" s="3">
        <f t="shared" si="8"/>
        <v>1597</v>
      </c>
      <c r="B20" s="3">
        <f t="shared" si="7"/>
        <v>102.35</v>
      </c>
      <c r="C20" s="3">
        <f t="shared" si="2"/>
        <v>-61.55</v>
      </c>
      <c r="D20" s="3">
        <f t="shared" si="3"/>
        <v>-61.55</v>
      </c>
      <c r="E20" s="3">
        <f t="shared" si="4"/>
        <v>46.45</v>
      </c>
      <c r="F20" s="3">
        <f t="shared" si="5"/>
        <v>25.7</v>
      </c>
    </row>
    <row r="21">
      <c r="A21" s="3">
        <f t="shared" si="8"/>
        <v>1598</v>
      </c>
      <c r="B21" s="3">
        <f t="shared" si="7"/>
        <v>101.35</v>
      </c>
      <c r="C21" s="3">
        <f t="shared" si="2"/>
        <v>-61.55</v>
      </c>
      <c r="D21" s="3">
        <f t="shared" si="3"/>
        <v>-61.55</v>
      </c>
      <c r="E21" s="3">
        <f t="shared" si="4"/>
        <v>46.45</v>
      </c>
      <c r="F21" s="3">
        <f t="shared" si="5"/>
        <v>24.7</v>
      </c>
    </row>
    <row r="22">
      <c r="A22" s="3">
        <f t="shared" si="8"/>
        <v>1599</v>
      </c>
      <c r="B22" s="3">
        <f t="shared" si="7"/>
        <v>100.35</v>
      </c>
      <c r="C22" s="3">
        <f t="shared" si="2"/>
        <v>-61.55</v>
      </c>
      <c r="D22" s="3">
        <f t="shared" si="3"/>
        <v>-61.55</v>
      </c>
      <c r="E22" s="3">
        <f t="shared" si="4"/>
        <v>46.45</v>
      </c>
      <c r="F22" s="3">
        <f t="shared" si="5"/>
        <v>23.7</v>
      </c>
    </row>
    <row r="23">
      <c r="A23" s="3">
        <f>A13+10</f>
        <v>1600</v>
      </c>
      <c r="B23" s="3">
        <f t="shared" si="7"/>
        <v>99.35</v>
      </c>
      <c r="C23" s="3">
        <f t="shared" si="2"/>
        <v>-61.55</v>
      </c>
      <c r="D23" s="3">
        <f t="shared" si="3"/>
        <v>-61.55</v>
      </c>
      <c r="E23" s="3">
        <f t="shared" si="4"/>
        <v>46.45</v>
      </c>
      <c r="F23" s="3">
        <f t="shared" si="5"/>
        <v>22.7</v>
      </c>
    </row>
    <row r="24">
      <c r="A24" s="3">
        <f t="shared" ref="A24:A32" si="9">A23+1</f>
        <v>1601</v>
      </c>
      <c r="B24" s="3">
        <f t="shared" si="7"/>
        <v>98.35</v>
      </c>
      <c r="C24" s="3">
        <f t="shared" si="2"/>
        <v>-61.55</v>
      </c>
      <c r="D24" s="3">
        <f t="shared" si="3"/>
        <v>-61.55</v>
      </c>
      <c r="E24" s="3">
        <f t="shared" si="4"/>
        <v>46.45</v>
      </c>
      <c r="F24" s="3">
        <f t="shared" si="5"/>
        <v>21.7</v>
      </c>
    </row>
    <row r="25">
      <c r="A25" s="3">
        <f t="shared" si="9"/>
        <v>1602</v>
      </c>
      <c r="B25" s="3">
        <f t="shared" si="7"/>
        <v>97.35</v>
      </c>
      <c r="C25" s="3">
        <f t="shared" si="2"/>
        <v>-61.55</v>
      </c>
      <c r="D25" s="3">
        <f t="shared" si="3"/>
        <v>-61.55</v>
      </c>
      <c r="E25" s="3">
        <f t="shared" si="4"/>
        <v>46.45</v>
      </c>
      <c r="F25" s="3">
        <f t="shared" si="5"/>
        <v>20.7</v>
      </c>
    </row>
    <row r="26">
      <c r="A26" s="3">
        <f t="shared" si="9"/>
        <v>1603</v>
      </c>
      <c r="B26" s="3">
        <f t="shared" si="7"/>
        <v>96.35</v>
      </c>
      <c r="C26" s="3">
        <f t="shared" si="2"/>
        <v>-61.55</v>
      </c>
      <c r="D26" s="3">
        <f t="shared" si="3"/>
        <v>-61.55</v>
      </c>
      <c r="E26" s="3">
        <f t="shared" si="4"/>
        <v>46.45</v>
      </c>
      <c r="F26" s="3">
        <f t="shared" si="5"/>
        <v>19.7</v>
      </c>
    </row>
    <row r="27">
      <c r="A27" s="3">
        <f t="shared" si="9"/>
        <v>1604</v>
      </c>
      <c r="B27" s="3">
        <f t="shared" si="7"/>
        <v>95.35</v>
      </c>
      <c r="C27" s="3">
        <f t="shared" si="2"/>
        <v>-61.55</v>
      </c>
      <c r="D27" s="3">
        <f t="shared" si="3"/>
        <v>-61.55</v>
      </c>
      <c r="E27" s="3">
        <f t="shared" si="4"/>
        <v>46.45</v>
      </c>
      <c r="F27" s="3">
        <f t="shared" si="5"/>
        <v>18.7</v>
      </c>
    </row>
    <row r="28">
      <c r="A28" s="3">
        <f t="shared" si="9"/>
        <v>1605</v>
      </c>
      <c r="B28" s="3">
        <f t="shared" si="7"/>
        <v>94.35</v>
      </c>
      <c r="C28" s="3">
        <f t="shared" si="2"/>
        <v>-61.55</v>
      </c>
      <c r="D28" s="3">
        <f t="shared" si="3"/>
        <v>-61.55</v>
      </c>
      <c r="E28" s="3">
        <f t="shared" si="4"/>
        <v>46.45</v>
      </c>
      <c r="F28" s="3">
        <f t="shared" si="5"/>
        <v>17.7</v>
      </c>
    </row>
    <row r="29">
      <c r="A29" s="3">
        <f t="shared" si="9"/>
        <v>1606</v>
      </c>
      <c r="B29" s="3">
        <f t="shared" si="7"/>
        <v>93.35</v>
      </c>
      <c r="C29" s="3">
        <f t="shared" si="2"/>
        <v>-61.55</v>
      </c>
      <c r="D29" s="3">
        <f t="shared" si="3"/>
        <v>-61.55</v>
      </c>
      <c r="E29" s="3">
        <f t="shared" si="4"/>
        <v>46.45</v>
      </c>
      <c r="F29" s="3">
        <f t="shared" si="5"/>
        <v>16.7</v>
      </c>
    </row>
    <row r="30">
      <c r="A30" s="3">
        <f t="shared" si="9"/>
        <v>1607</v>
      </c>
      <c r="B30" s="3">
        <f t="shared" si="7"/>
        <v>92.35</v>
      </c>
      <c r="C30" s="3">
        <f t="shared" si="2"/>
        <v>-61.55</v>
      </c>
      <c r="D30" s="3">
        <f t="shared" si="3"/>
        <v>-61.55</v>
      </c>
      <c r="E30" s="3">
        <f t="shared" si="4"/>
        <v>46.45</v>
      </c>
      <c r="F30" s="3">
        <f t="shared" si="5"/>
        <v>15.7</v>
      </c>
    </row>
    <row r="31">
      <c r="A31" s="3">
        <f t="shared" si="9"/>
        <v>1608</v>
      </c>
      <c r="B31" s="3">
        <f t="shared" si="7"/>
        <v>91.35</v>
      </c>
      <c r="C31" s="3">
        <f t="shared" si="2"/>
        <v>-61.55</v>
      </c>
      <c r="D31" s="3">
        <f t="shared" si="3"/>
        <v>-61.55</v>
      </c>
      <c r="E31" s="3">
        <f t="shared" si="4"/>
        <v>46.45</v>
      </c>
      <c r="F31" s="3">
        <f t="shared" si="5"/>
        <v>14.7</v>
      </c>
    </row>
    <row r="32">
      <c r="A32" s="3">
        <f t="shared" si="9"/>
        <v>1609</v>
      </c>
      <c r="B32" s="3">
        <f t="shared" si="7"/>
        <v>90.35</v>
      </c>
      <c r="C32" s="3">
        <f t="shared" si="2"/>
        <v>-61.55</v>
      </c>
      <c r="D32" s="3">
        <f t="shared" si="3"/>
        <v>-61.55</v>
      </c>
      <c r="E32" s="3">
        <f t="shared" si="4"/>
        <v>46.45</v>
      </c>
      <c r="F32" s="3">
        <f t="shared" si="5"/>
        <v>13.7</v>
      </c>
    </row>
    <row r="33">
      <c r="A33" s="3">
        <f>A23+10</f>
        <v>1610</v>
      </c>
      <c r="B33" s="3">
        <f t="shared" si="7"/>
        <v>89.35</v>
      </c>
      <c r="C33" s="3">
        <f t="shared" ref="C33:C57" si="10">A33-$E$4+$G$4</f>
        <v>-61.55</v>
      </c>
      <c r="D33" s="3">
        <f t="shared" ref="D33:D57" si="11">A33-$E$5+$G$5</f>
        <v>-61.55</v>
      </c>
      <c r="E33" s="3">
        <f t="shared" si="4"/>
        <v>46.45</v>
      </c>
      <c r="F33" s="3">
        <f t="shared" si="5"/>
        <v>12.7</v>
      </c>
    </row>
    <row r="34">
      <c r="A34" s="3">
        <f t="shared" ref="A34:A42" si="12">A33+1</f>
        <v>1611</v>
      </c>
      <c r="B34" s="3">
        <f t="shared" si="7"/>
        <v>88.35</v>
      </c>
      <c r="C34" s="3">
        <f t="shared" si="10"/>
        <v>-60.55</v>
      </c>
      <c r="D34" s="3">
        <f t="shared" si="11"/>
        <v>-60.55</v>
      </c>
      <c r="E34" s="3">
        <f t="shared" si="4"/>
        <v>46.45</v>
      </c>
      <c r="F34" s="3">
        <f t="shared" si="5"/>
        <v>13.7</v>
      </c>
    </row>
    <row r="35">
      <c r="A35" s="3">
        <f t="shared" si="12"/>
        <v>1612</v>
      </c>
      <c r="B35" s="3">
        <f t="shared" si="7"/>
        <v>87.35</v>
      </c>
      <c r="C35" s="3">
        <f t="shared" si="10"/>
        <v>-59.55</v>
      </c>
      <c r="D35" s="3">
        <f t="shared" si="11"/>
        <v>-59.55</v>
      </c>
      <c r="E35" s="3">
        <f t="shared" si="4"/>
        <v>46.45</v>
      </c>
      <c r="F35" s="3">
        <f t="shared" si="5"/>
        <v>14.7</v>
      </c>
    </row>
    <row r="36">
      <c r="A36" s="3">
        <f t="shared" si="12"/>
        <v>1613</v>
      </c>
      <c r="B36" s="3">
        <f t="shared" si="7"/>
        <v>86.35</v>
      </c>
      <c r="C36" s="3">
        <f t="shared" si="10"/>
        <v>-58.55</v>
      </c>
      <c r="D36" s="3">
        <f t="shared" si="11"/>
        <v>-58.55</v>
      </c>
      <c r="E36" s="3">
        <f t="shared" si="4"/>
        <v>46.45</v>
      </c>
      <c r="F36" s="3">
        <f t="shared" si="5"/>
        <v>15.7</v>
      </c>
    </row>
    <row r="37">
      <c r="A37" s="3">
        <f t="shared" si="12"/>
        <v>1614</v>
      </c>
      <c r="B37" s="3">
        <f t="shared" si="7"/>
        <v>85.35</v>
      </c>
      <c r="C37" s="3">
        <f t="shared" si="10"/>
        <v>-57.55</v>
      </c>
      <c r="D37" s="3">
        <f t="shared" si="11"/>
        <v>-57.55</v>
      </c>
      <c r="E37" s="3">
        <f t="shared" si="4"/>
        <v>46.45</v>
      </c>
      <c r="F37" s="3">
        <f t="shared" si="5"/>
        <v>16.7</v>
      </c>
    </row>
    <row r="38">
      <c r="A38" s="3">
        <f t="shared" si="12"/>
        <v>1615</v>
      </c>
      <c r="B38" s="3">
        <f t="shared" si="7"/>
        <v>84.35</v>
      </c>
      <c r="C38" s="3">
        <f t="shared" si="10"/>
        <v>-56.55</v>
      </c>
      <c r="D38" s="3">
        <f t="shared" si="11"/>
        <v>-56.55</v>
      </c>
      <c r="E38" s="3">
        <f t="shared" si="4"/>
        <v>46.45</v>
      </c>
      <c r="F38" s="3">
        <f t="shared" si="5"/>
        <v>17.7</v>
      </c>
    </row>
    <row r="39">
      <c r="A39" s="3">
        <f t="shared" si="12"/>
        <v>1616</v>
      </c>
      <c r="B39" s="3">
        <f t="shared" si="7"/>
        <v>83.35</v>
      </c>
      <c r="C39" s="3">
        <f t="shared" si="10"/>
        <v>-55.55</v>
      </c>
      <c r="D39" s="3">
        <f t="shared" si="11"/>
        <v>-55.55</v>
      </c>
      <c r="E39" s="3">
        <f t="shared" si="4"/>
        <v>46.45</v>
      </c>
      <c r="F39" s="3">
        <f t="shared" si="5"/>
        <v>18.7</v>
      </c>
    </row>
    <row r="40">
      <c r="A40" s="3">
        <f t="shared" si="12"/>
        <v>1617</v>
      </c>
      <c r="B40" s="3">
        <f t="shared" si="7"/>
        <v>82.35</v>
      </c>
      <c r="C40" s="3">
        <f t="shared" si="10"/>
        <v>-54.55</v>
      </c>
      <c r="D40" s="3">
        <f t="shared" si="11"/>
        <v>-54.55</v>
      </c>
      <c r="E40" s="3">
        <f t="shared" si="4"/>
        <v>46.45</v>
      </c>
      <c r="F40" s="3">
        <f t="shared" si="5"/>
        <v>19.7</v>
      </c>
    </row>
    <row r="41">
      <c r="A41" s="3">
        <f t="shared" si="12"/>
        <v>1618</v>
      </c>
      <c r="B41" s="3">
        <f t="shared" si="7"/>
        <v>81.35</v>
      </c>
      <c r="C41" s="3">
        <f t="shared" si="10"/>
        <v>-53.55</v>
      </c>
      <c r="D41" s="3">
        <f t="shared" si="11"/>
        <v>-53.55</v>
      </c>
      <c r="E41" s="3">
        <f t="shared" si="4"/>
        <v>46.45</v>
      </c>
      <c r="F41" s="3">
        <f t="shared" si="5"/>
        <v>20.7</v>
      </c>
    </row>
    <row r="42">
      <c r="A42" s="3">
        <f t="shared" si="12"/>
        <v>1619</v>
      </c>
      <c r="B42" s="3">
        <f t="shared" si="7"/>
        <v>80.35</v>
      </c>
      <c r="C42" s="3">
        <f t="shared" si="10"/>
        <v>-52.55</v>
      </c>
      <c r="D42" s="3">
        <f t="shared" si="11"/>
        <v>-52.55</v>
      </c>
      <c r="E42" s="3">
        <f t="shared" si="4"/>
        <v>46.45</v>
      </c>
      <c r="F42" s="3">
        <f t="shared" si="5"/>
        <v>21.7</v>
      </c>
    </row>
    <row r="43">
      <c r="A43" s="3">
        <f>A33+10</f>
        <v>1620</v>
      </c>
      <c r="B43" s="3">
        <f t="shared" si="7"/>
        <v>79.35</v>
      </c>
      <c r="C43" s="3">
        <f t="shared" si="10"/>
        <v>-51.55</v>
      </c>
      <c r="D43" s="3">
        <f t="shared" si="11"/>
        <v>-51.55</v>
      </c>
      <c r="E43" s="3">
        <f t="shared" si="4"/>
        <v>46.45</v>
      </c>
      <c r="F43" s="3">
        <f t="shared" si="5"/>
        <v>22.7</v>
      </c>
    </row>
    <row r="44">
      <c r="A44" s="3">
        <f t="shared" ref="A44:A52" si="13">A43+1</f>
        <v>1621</v>
      </c>
      <c r="B44" s="3">
        <f t="shared" si="7"/>
        <v>78.35</v>
      </c>
      <c r="C44" s="3">
        <f t="shared" si="10"/>
        <v>-50.55</v>
      </c>
      <c r="D44" s="3">
        <f t="shared" si="11"/>
        <v>-50.55</v>
      </c>
      <c r="E44" s="3">
        <f t="shared" si="4"/>
        <v>46.45</v>
      </c>
      <c r="F44" s="3">
        <f t="shared" si="5"/>
        <v>23.7</v>
      </c>
    </row>
    <row r="45">
      <c r="A45" s="3">
        <f t="shared" si="13"/>
        <v>1622</v>
      </c>
      <c r="B45" s="3">
        <f t="shared" si="7"/>
        <v>77.35</v>
      </c>
      <c r="C45" s="3">
        <f t="shared" si="10"/>
        <v>-49.55</v>
      </c>
      <c r="D45" s="3">
        <f t="shared" si="11"/>
        <v>-49.55</v>
      </c>
      <c r="E45" s="3">
        <f t="shared" si="4"/>
        <v>46.45</v>
      </c>
      <c r="F45" s="3">
        <f t="shared" si="5"/>
        <v>24.7</v>
      </c>
    </row>
    <row r="46">
      <c r="A46" s="3">
        <f t="shared" si="13"/>
        <v>1623</v>
      </c>
      <c r="B46" s="3">
        <f t="shared" si="7"/>
        <v>76.35</v>
      </c>
      <c r="C46" s="3">
        <f t="shared" si="10"/>
        <v>-48.55</v>
      </c>
      <c r="D46" s="3">
        <f t="shared" si="11"/>
        <v>-48.55</v>
      </c>
      <c r="E46" s="3">
        <f t="shared" si="4"/>
        <v>46.45</v>
      </c>
      <c r="F46" s="3">
        <f t="shared" si="5"/>
        <v>25.7</v>
      </c>
    </row>
    <row r="47">
      <c r="A47" s="3">
        <f t="shared" si="13"/>
        <v>1624</v>
      </c>
      <c r="B47" s="3">
        <f t="shared" si="7"/>
        <v>75.35</v>
      </c>
      <c r="C47" s="3">
        <f t="shared" si="10"/>
        <v>-47.55</v>
      </c>
      <c r="D47" s="3">
        <f t="shared" si="11"/>
        <v>-47.55</v>
      </c>
      <c r="E47" s="3">
        <f t="shared" si="4"/>
        <v>46.45</v>
      </c>
      <c r="F47" s="3">
        <f t="shared" si="5"/>
        <v>26.7</v>
      </c>
    </row>
    <row r="48">
      <c r="A48" s="3">
        <f t="shared" si="13"/>
        <v>1625</v>
      </c>
      <c r="B48" s="3">
        <f t="shared" si="7"/>
        <v>74.35</v>
      </c>
      <c r="C48" s="3">
        <f t="shared" si="10"/>
        <v>-46.55</v>
      </c>
      <c r="D48" s="3">
        <f t="shared" si="11"/>
        <v>-46.55</v>
      </c>
      <c r="E48" s="3">
        <f t="shared" si="4"/>
        <v>46.45</v>
      </c>
      <c r="F48" s="3">
        <f t="shared" si="5"/>
        <v>27.7</v>
      </c>
    </row>
    <row r="49">
      <c r="A49" s="3">
        <f t="shared" si="13"/>
        <v>1626</v>
      </c>
      <c r="B49" s="3">
        <f t="shared" si="7"/>
        <v>73.35</v>
      </c>
      <c r="C49" s="3">
        <f t="shared" si="10"/>
        <v>-45.55</v>
      </c>
      <c r="D49" s="3">
        <f t="shared" si="11"/>
        <v>-45.55</v>
      </c>
      <c r="E49" s="3">
        <f t="shared" si="4"/>
        <v>46.45</v>
      </c>
      <c r="F49" s="3">
        <f t="shared" si="5"/>
        <v>28.7</v>
      </c>
    </row>
    <row r="50">
      <c r="A50" s="3">
        <f t="shared" si="13"/>
        <v>1627</v>
      </c>
      <c r="B50" s="3">
        <f t="shared" si="7"/>
        <v>72.35</v>
      </c>
      <c r="C50" s="3">
        <f t="shared" si="10"/>
        <v>-44.55</v>
      </c>
      <c r="D50" s="3">
        <f t="shared" si="11"/>
        <v>-44.55</v>
      </c>
      <c r="E50" s="3">
        <f t="shared" si="4"/>
        <v>46.45</v>
      </c>
      <c r="F50" s="3">
        <f t="shared" si="5"/>
        <v>29.7</v>
      </c>
    </row>
    <row r="51">
      <c r="A51" s="3">
        <f t="shared" si="13"/>
        <v>1628</v>
      </c>
      <c r="B51" s="3">
        <f t="shared" si="7"/>
        <v>71.35</v>
      </c>
      <c r="C51" s="3">
        <f t="shared" si="10"/>
        <v>-43.55</v>
      </c>
      <c r="D51" s="3">
        <f t="shared" si="11"/>
        <v>-43.55</v>
      </c>
      <c r="E51" s="3">
        <f t="shared" si="4"/>
        <v>46.45</v>
      </c>
      <c r="F51" s="3">
        <f t="shared" si="5"/>
        <v>30.7</v>
      </c>
    </row>
    <row r="52">
      <c r="A52" s="3">
        <f t="shared" si="13"/>
        <v>1629</v>
      </c>
      <c r="B52" s="3">
        <f t="shared" si="7"/>
        <v>70.35</v>
      </c>
      <c r="C52" s="3">
        <f t="shared" si="10"/>
        <v>-42.55</v>
      </c>
      <c r="D52" s="3">
        <f t="shared" si="11"/>
        <v>-42.55</v>
      </c>
      <c r="E52" s="3">
        <f t="shared" si="4"/>
        <v>46.45</v>
      </c>
      <c r="F52" s="3">
        <f t="shared" si="5"/>
        <v>31.7</v>
      </c>
    </row>
    <row r="53">
      <c r="A53" s="3">
        <f>A43+10</f>
        <v>1630</v>
      </c>
      <c r="B53" s="3">
        <f t="shared" si="7"/>
        <v>69.35</v>
      </c>
      <c r="C53" s="3">
        <f t="shared" si="10"/>
        <v>-41.55</v>
      </c>
      <c r="D53" s="3">
        <f t="shared" si="11"/>
        <v>-41.55</v>
      </c>
      <c r="E53" s="3">
        <f t="shared" ref="E53:E57" si="14">$E$6-A53+$G$6</f>
        <v>46.45</v>
      </c>
      <c r="F53" s="3">
        <f t="shared" si="5"/>
        <v>32.7</v>
      </c>
    </row>
    <row r="54">
      <c r="A54" s="3">
        <f t="shared" ref="A54:A57" si="15">A53+10</f>
        <v>1640</v>
      </c>
      <c r="B54" s="3">
        <f t="shared" si="7"/>
        <v>59.35</v>
      </c>
      <c r="C54" s="3">
        <f t="shared" si="10"/>
        <v>-31.55</v>
      </c>
      <c r="D54" s="3">
        <f t="shared" si="11"/>
        <v>-31.55</v>
      </c>
      <c r="E54" s="3">
        <f t="shared" si="14"/>
        <v>36.45</v>
      </c>
      <c r="F54" s="3">
        <f t="shared" si="5"/>
        <v>32.7</v>
      </c>
    </row>
    <row r="55">
      <c r="A55" s="3">
        <f t="shared" si="15"/>
        <v>1650</v>
      </c>
      <c r="B55" s="3">
        <f t="shared" si="7"/>
        <v>49.35</v>
      </c>
      <c r="C55" s="3">
        <f t="shared" si="10"/>
        <v>-21.55</v>
      </c>
      <c r="D55" s="3">
        <f t="shared" si="11"/>
        <v>-21.55</v>
      </c>
      <c r="E55" s="3">
        <f t="shared" si="14"/>
        <v>26.45</v>
      </c>
      <c r="F55" s="3">
        <f t="shared" si="5"/>
        <v>32.7</v>
      </c>
    </row>
    <row r="56">
      <c r="A56" s="3">
        <f t="shared" si="15"/>
        <v>1660</v>
      </c>
      <c r="B56" s="3">
        <f t="shared" si="7"/>
        <v>39.35</v>
      </c>
      <c r="C56" s="3">
        <f t="shared" si="10"/>
        <v>-11.55</v>
      </c>
      <c r="D56" s="3">
        <f t="shared" si="11"/>
        <v>-11.55</v>
      </c>
      <c r="E56" s="3">
        <f t="shared" si="14"/>
        <v>16.45</v>
      </c>
      <c r="F56" s="3">
        <f t="shared" si="5"/>
        <v>32.7</v>
      </c>
    </row>
    <row r="57">
      <c r="A57" s="3">
        <f t="shared" si="15"/>
        <v>1670</v>
      </c>
      <c r="B57" s="3">
        <f t="shared" si="7"/>
        <v>29.35</v>
      </c>
      <c r="C57" s="3">
        <f t="shared" si="10"/>
        <v>-1.55</v>
      </c>
      <c r="D57" s="3">
        <f t="shared" si="11"/>
        <v>-1.55</v>
      </c>
      <c r="E57" s="3">
        <f t="shared" si="14"/>
        <v>6.45</v>
      </c>
      <c r="F57" s="3">
        <f t="shared" si="5"/>
        <v>32.7</v>
      </c>
    </row>
  </sheetData>
  <mergeCells count="4">
    <mergeCell ref="A1:B1"/>
    <mergeCell ref="B4:C4"/>
    <mergeCell ref="B5:C5"/>
    <mergeCell ref="B6:C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</cols>
  <sheetData>
    <row r="1">
      <c r="A1" s="1" t="s">
        <v>0</v>
      </c>
      <c r="C1" s="1">
        <v>1659.9</v>
      </c>
      <c r="D1" s="1" t="s">
        <v>1</v>
      </c>
    </row>
    <row r="2">
      <c r="A2" s="1"/>
      <c r="C2" s="1"/>
    </row>
    <row r="3">
      <c r="A3" s="2" t="s">
        <v>2</v>
      </c>
      <c r="B3" s="1" t="s">
        <v>7</v>
      </c>
      <c r="D3" s="1" t="s">
        <v>4</v>
      </c>
      <c r="E3" s="1">
        <v>1590.0</v>
      </c>
      <c r="F3" s="1" t="s">
        <v>5</v>
      </c>
      <c r="G3" s="1">
        <v>109.35</v>
      </c>
    </row>
    <row r="4">
      <c r="A4" s="2" t="s">
        <v>6</v>
      </c>
      <c r="B4" s="1" t="s">
        <v>3</v>
      </c>
      <c r="D4" s="1" t="s">
        <v>4</v>
      </c>
      <c r="E4" s="1">
        <v>1610.0</v>
      </c>
      <c r="F4" s="1" t="s">
        <v>5</v>
      </c>
      <c r="G4" s="1">
        <v>-61.55</v>
      </c>
    </row>
    <row r="5">
      <c r="A5" s="2" t="s">
        <v>10</v>
      </c>
      <c r="B5" s="1" t="s">
        <v>3</v>
      </c>
      <c r="D5" s="1" t="s">
        <v>4</v>
      </c>
      <c r="E5" s="1">
        <v>1630.0</v>
      </c>
      <c r="F5" s="1" t="s">
        <v>5</v>
      </c>
      <c r="G5" s="1">
        <v>-46.45</v>
      </c>
    </row>
    <row r="6">
      <c r="A6" s="2" t="s">
        <v>11</v>
      </c>
      <c r="B6" s="1" t="s">
        <v>7</v>
      </c>
      <c r="D6" s="1" t="s">
        <v>4</v>
      </c>
      <c r="E6" s="1">
        <v>1650.0</v>
      </c>
      <c r="F6" s="1" t="s">
        <v>5</v>
      </c>
      <c r="G6" s="1">
        <v>35.8</v>
      </c>
    </row>
    <row r="8">
      <c r="A8" s="1" t="s">
        <v>8</v>
      </c>
      <c r="B8" s="1" t="s">
        <v>2</v>
      </c>
      <c r="C8" s="1" t="s">
        <v>6</v>
      </c>
      <c r="D8" s="1" t="s">
        <v>10</v>
      </c>
      <c r="E8" s="1" t="s">
        <v>11</v>
      </c>
      <c r="F8" s="1" t="s">
        <v>12</v>
      </c>
    </row>
    <row r="9">
      <c r="A9" s="1">
        <v>1550.0</v>
      </c>
      <c r="B9" s="3">
        <f t="shared" ref="B9:B12" si="1">$G$3</f>
        <v>109.35</v>
      </c>
      <c r="C9" s="3">
        <f t="shared" ref="C9:C14" si="2">$G$4</f>
        <v>-61.55</v>
      </c>
      <c r="D9" s="3">
        <f t="shared" ref="D9:D16" si="3">$G$5</f>
        <v>-46.45</v>
      </c>
      <c r="E9" s="3">
        <f t="shared" ref="E9:E18" si="4">$G$6</f>
        <v>35.8</v>
      </c>
      <c r="F9" s="3">
        <f t="shared" ref="F9:F23" si="5">sum(B9:E9)</f>
        <v>37.15</v>
      </c>
    </row>
    <row r="10">
      <c r="A10" s="1">
        <f t="shared" ref="A10:A23" si="6">A9+10</f>
        <v>1560</v>
      </c>
      <c r="B10" s="3">
        <f t="shared" si="1"/>
        <v>109.35</v>
      </c>
      <c r="C10" s="3">
        <f t="shared" si="2"/>
        <v>-61.55</v>
      </c>
      <c r="D10" s="3">
        <f t="shared" si="3"/>
        <v>-46.45</v>
      </c>
      <c r="E10" s="3">
        <f t="shared" si="4"/>
        <v>35.8</v>
      </c>
      <c r="F10" s="3">
        <f t="shared" si="5"/>
        <v>37.15</v>
      </c>
    </row>
    <row r="11">
      <c r="A11" s="1">
        <f t="shared" si="6"/>
        <v>1570</v>
      </c>
      <c r="B11" s="3">
        <f t="shared" si="1"/>
        <v>109.35</v>
      </c>
      <c r="C11" s="3">
        <f t="shared" si="2"/>
        <v>-61.55</v>
      </c>
      <c r="D11" s="3">
        <f t="shared" si="3"/>
        <v>-46.45</v>
      </c>
      <c r="E11" s="3">
        <f t="shared" si="4"/>
        <v>35.8</v>
      </c>
      <c r="F11" s="3">
        <f t="shared" si="5"/>
        <v>37.15</v>
      </c>
    </row>
    <row r="12">
      <c r="A12" s="1">
        <f t="shared" si="6"/>
        <v>1580</v>
      </c>
      <c r="B12" s="3">
        <f t="shared" si="1"/>
        <v>109.35</v>
      </c>
      <c r="C12" s="3">
        <f t="shared" si="2"/>
        <v>-61.55</v>
      </c>
      <c r="D12" s="3">
        <f t="shared" si="3"/>
        <v>-46.45</v>
      </c>
      <c r="E12" s="3">
        <f t="shared" si="4"/>
        <v>35.8</v>
      </c>
      <c r="F12" s="3">
        <f t="shared" si="5"/>
        <v>37.15</v>
      </c>
    </row>
    <row r="13">
      <c r="A13" s="1">
        <f t="shared" si="6"/>
        <v>1590</v>
      </c>
      <c r="B13" s="4">
        <f t="shared" ref="B13:B23" si="7">-A13+$E$3+$G$3</f>
        <v>109.35</v>
      </c>
      <c r="C13" s="3">
        <f t="shared" si="2"/>
        <v>-61.55</v>
      </c>
      <c r="D13" s="3">
        <f t="shared" si="3"/>
        <v>-46.45</v>
      </c>
      <c r="E13" s="3">
        <f t="shared" si="4"/>
        <v>35.8</v>
      </c>
      <c r="F13" s="3">
        <f t="shared" si="5"/>
        <v>37.15</v>
      </c>
    </row>
    <row r="14">
      <c r="A14" s="1">
        <f t="shared" si="6"/>
        <v>1600</v>
      </c>
      <c r="B14" s="3">
        <f t="shared" si="7"/>
        <v>99.35</v>
      </c>
      <c r="C14" s="3">
        <f t="shared" si="2"/>
        <v>-61.55</v>
      </c>
      <c r="D14" s="3">
        <f t="shared" si="3"/>
        <v>-46.45</v>
      </c>
      <c r="E14" s="3">
        <f t="shared" si="4"/>
        <v>35.8</v>
      </c>
      <c r="F14" s="3">
        <f t="shared" si="5"/>
        <v>27.15</v>
      </c>
    </row>
    <row r="15">
      <c r="A15" s="1">
        <f t="shared" si="6"/>
        <v>1610</v>
      </c>
      <c r="B15" s="3">
        <f t="shared" si="7"/>
        <v>89.35</v>
      </c>
      <c r="C15" s="4">
        <f t="shared" ref="C15:C23" si="8">A15-$E$4+$G$4</f>
        <v>-61.55</v>
      </c>
      <c r="D15" s="3">
        <f t="shared" si="3"/>
        <v>-46.45</v>
      </c>
      <c r="E15" s="3">
        <f t="shared" si="4"/>
        <v>35.8</v>
      </c>
      <c r="F15" s="3">
        <f t="shared" si="5"/>
        <v>17.15</v>
      </c>
    </row>
    <row r="16">
      <c r="A16" s="1">
        <f t="shared" si="6"/>
        <v>1620</v>
      </c>
      <c r="B16" s="3">
        <f t="shared" si="7"/>
        <v>79.35</v>
      </c>
      <c r="C16" s="3">
        <f t="shared" si="8"/>
        <v>-51.55</v>
      </c>
      <c r="D16" s="3">
        <f t="shared" si="3"/>
        <v>-46.45</v>
      </c>
      <c r="E16" s="3">
        <f t="shared" si="4"/>
        <v>35.8</v>
      </c>
      <c r="F16" s="3">
        <f t="shared" si="5"/>
        <v>17.15</v>
      </c>
    </row>
    <row r="17">
      <c r="A17" s="1">
        <f t="shared" si="6"/>
        <v>1630</v>
      </c>
      <c r="B17" s="3">
        <f t="shared" si="7"/>
        <v>69.35</v>
      </c>
      <c r="C17" s="3">
        <f t="shared" si="8"/>
        <v>-41.55</v>
      </c>
      <c r="D17" s="4">
        <f t="shared" ref="D17:D23" si="9">A17-$E$5+$G$5</f>
        <v>-46.45</v>
      </c>
      <c r="E17" s="3">
        <f t="shared" si="4"/>
        <v>35.8</v>
      </c>
      <c r="F17" s="3">
        <f t="shared" si="5"/>
        <v>17.15</v>
      </c>
    </row>
    <row r="18">
      <c r="A18" s="1">
        <f t="shared" si="6"/>
        <v>1640</v>
      </c>
      <c r="B18" s="3">
        <f t="shared" si="7"/>
        <v>59.35</v>
      </c>
      <c r="C18" s="3">
        <f t="shared" si="8"/>
        <v>-31.55</v>
      </c>
      <c r="D18" s="3">
        <f t="shared" si="9"/>
        <v>-36.45</v>
      </c>
      <c r="E18" s="3">
        <f t="shared" si="4"/>
        <v>35.8</v>
      </c>
      <c r="F18" s="3">
        <f t="shared" si="5"/>
        <v>27.15</v>
      </c>
    </row>
    <row r="19">
      <c r="A19" s="1">
        <f t="shared" si="6"/>
        <v>1650</v>
      </c>
      <c r="B19" s="3">
        <f t="shared" si="7"/>
        <v>49.35</v>
      </c>
      <c r="C19" s="3">
        <f t="shared" si="8"/>
        <v>-21.55</v>
      </c>
      <c r="D19" s="3">
        <f t="shared" si="9"/>
        <v>-26.45</v>
      </c>
      <c r="E19" s="4">
        <f t="shared" ref="E19:E23" si="10">$E$6-A19+$G$6</f>
        <v>35.8</v>
      </c>
      <c r="F19" s="3">
        <f t="shared" si="5"/>
        <v>37.15</v>
      </c>
    </row>
    <row r="20">
      <c r="A20" s="1">
        <f t="shared" si="6"/>
        <v>1660</v>
      </c>
      <c r="B20" s="3">
        <f t="shared" si="7"/>
        <v>39.35</v>
      </c>
      <c r="C20" s="3">
        <f t="shared" si="8"/>
        <v>-11.55</v>
      </c>
      <c r="D20" s="3">
        <f t="shared" si="9"/>
        <v>-16.45</v>
      </c>
      <c r="E20" s="3">
        <f t="shared" si="10"/>
        <v>25.8</v>
      </c>
      <c r="F20" s="3">
        <f t="shared" si="5"/>
        <v>37.15</v>
      </c>
    </row>
    <row r="21">
      <c r="A21" s="1">
        <f t="shared" si="6"/>
        <v>1670</v>
      </c>
      <c r="B21" s="3">
        <f t="shared" si="7"/>
        <v>29.35</v>
      </c>
      <c r="C21" s="3">
        <f t="shared" si="8"/>
        <v>-1.55</v>
      </c>
      <c r="D21" s="3">
        <f t="shared" si="9"/>
        <v>-6.45</v>
      </c>
      <c r="E21" s="3">
        <f t="shared" si="10"/>
        <v>15.8</v>
      </c>
      <c r="F21" s="3">
        <f t="shared" si="5"/>
        <v>37.15</v>
      </c>
    </row>
    <row r="22">
      <c r="A22" s="1">
        <f t="shared" si="6"/>
        <v>1680</v>
      </c>
      <c r="B22" s="3">
        <f t="shared" si="7"/>
        <v>19.35</v>
      </c>
      <c r="C22" s="3">
        <f t="shared" si="8"/>
        <v>8.45</v>
      </c>
      <c r="D22" s="3">
        <f t="shared" si="9"/>
        <v>3.55</v>
      </c>
      <c r="E22" s="3">
        <f t="shared" si="10"/>
        <v>5.8</v>
      </c>
      <c r="F22" s="3">
        <f t="shared" si="5"/>
        <v>37.15</v>
      </c>
    </row>
    <row r="23">
      <c r="A23" s="1">
        <f t="shared" si="6"/>
        <v>1690</v>
      </c>
      <c r="B23" s="3">
        <f t="shared" si="7"/>
        <v>9.35</v>
      </c>
      <c r="C23" s="3">
        <f t="shared" si="8"/>
        <v>18.45</v>
      </c>
      <c r="D23" s="3">
        <f t="shared" si="9"/>
        <v>13.55</v>
      </c>
      <c r="E23" s="3">
        <f t="shared" si="10"/>
        <v>-4.2</v>
      </c>
      <c r="F23" s="3">
        <f t="shared" si="5"/>
        <v>37.15</v>
      </c>
    </row>
  </sheetData>
  <mergeCells count="4">
    <mergeCell ref="A1:B1"/>
    <mergeCell ref="B4:C4"/>
    <mergeCell ref="B5:C5"/>
    <mergeCell ref="B6:C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</cols>
  <sheetData>
    <row r="1">
      <c r="A1" s="1" t="s">
        <v>0</v>
      </c>
      <c r="C1" s="1">
        <v>1659.9</v>
      </c>
      <c r="D1" s="1" t="s">
        <v>1</v>
      </c>
    </row>
    <row r="2">
      <c r="A2" s="1"/>
      <c r="C2" s="1"/>
    </row>
    <row r="3">
      <c r="A3" s="2" t="s">
        <v>2</v>
      </c>
      <c r="B3" s="1" t="s">
        <v>7</v>
      </c>
      <c r="D3" s="1" t="s">
        <v>4</v>
      </c>
      <c r="E3" s="1">
        <v>1590.0</v>
      </c>
      <c r="F3" s="1" t="s">
        <v>5</v>
      </c>
      <c r="G3" s="1">
        <v>109.35</v>
      </c>
    </row>
    <row r="4">
      <c r="A4" s="2" t="s">
        <v>6</v>
      </c>
      <c r="B4" s="1" t="s">
        <v>3</v>
      </c>
      <c r="D4" s="1" t="s">
        <v>4</v>
      </c>
      <c r="E4" s="1">
        <v>1600.0</v>
      </c>
      <c r="F4" s="1" t="s">
        <v>5</v>
      </c>
      <c r="G4" s="1">
        <v>-69.4</v>
      </c>
    </row>
    <row r="5">
      <c r="A5" s="2" t="s">
        <v>10</v>
      </c>
      <c r="B5" s="1" t="s">
        <v>3</v>
      </c>
      <c r="D5" s="1" t="s">
        <v>4</v>
      </c>
      <c r="E5" s="1">
        <v>1600.0</v>
      </c>
      <c r="F5" s="1" t="s">
        <v>5</v>
      </c>
      <c r="G5" s="1">
        <v>-69.4</v>
      </c>
    </row>
    <row r="6">
      <c r="A6" s="2" t="s">
        <v>11</v>
      </c>
      <c r="B6" s="1" t="s">
        <v>7</v>
      </c>
      <c r="D6" s="1" t="s">
        <v>4</v>
      </c>
      <c r="E6" s="1">
        <v>1610.0</v>
      </c>
      <c r="F6" s="1" t="s">
        <v>5</v>
      </c>
      <c r="G6" s="1">
        <v>61.55</v>
      </c>
    </row>
    <row r="8">
      <c r="A8" s="1" t="s">
        <v>8</v>
      </c>
      <c r="B8" s="1" t="s">
        <v>2</v>
      </c>
      <c r="C8" s="1" t="s">
        <v>6</v>
      </c>
      <c r="D8" s="1" t="s">
        <v>10</v>
      </c>
      <c r="E8" s="1" t="s">
        <v>11</v>
      </c>
      <c r="F8" s="1" t="s">
        <v>12</v>
      </c>
    </row>
    <row r="9">
      <c r="A9" s="1">
        <v>1570.0</v>
      </c>
      <c r="B9" s="3">
        <f t="shared" ref="B9:B10" si="1">$G$3</f>
        <v>109.35</v>
      </c>
      <c r="C9" s="3">
        <f t="shared" ref="C9:C11" si="2">$G$4</f>
        <v>-69.4</v>
      </c>
      <c r="D9" s="3">
        <f t="shared" ref="D9:D11" si="3">$G$5</f>
        <v>-69.4</v>
      </c>
      <c r="E9" s="3">
        <f t="shared" ref="E9:E12" si="4">$G$6</f>
        <v>61.55</v>
      </c>
      <c r="F9" s="3">
        <f t="shared" ref="F9:F15" si="5">B9+C9+D9+E9</f>
        <v>32.1</v>
      </c>
    </row>
    <row r="10">
      <c r="A10" s="3">
        <f t="shared" ref="A10:A15" si="6">A9+10</f>
        <v>1580</v>
      </c>
      <c r="B10" s="3">
        <f t="shared" si="1"/>
        <v>109.35</v>
      </c>
      <c r="C10" s="3">
        <f t="shared" si="2"/>
        <v>-69.4</v>
      </c>
      <c r="D10" s="3">
        <f t="shared" si="3"/>
        <v>-69.4</v>
      </c>
      <c r="E10" s="3">
        <f t="shared" si="4"/>
        <v>61.55</v>
      </c>
      <c r="F10" s="3">
        <f t="shared" si="5"/>
        <v>32.1</v>
      </c>
    </row>
    <row r="11">
      <c r="A11" s="3">
        <f t="shared" si="6"/>
        <v>1590</v>
      </c>
      <c r="B11" s="3">
        <f t="shared" ref="B11:B15" si="7">$E$3-A11+$G$3</f>
        <v>109.35</v>
      </c>
      <c r="C11" s="3">
        <f t="shared" si="2"/>
        <v>-69.4</v>
      </c>
      <c r="D11" s="3">
        <f t="shared" si="3"/>
        <v>-69.4</v>
      </c>
      <c r="E11" s="3">
        <f t="shared" si="4"/>
        <v>61.55</v>
      </c>
      <c r="F11" s="3">
        <f t="shared" si="5"/>
        <v>32.1</v>
      </c>
    </row>
    <row r="12">
      <c r="A12" s="3">
        <f t="shared" si="6"/>
        <v>1600</v>
      </c>
      <c r="B12" s="3">
        <f t="shared" si="7"/>
        <v>99.35</v>
      </c>
      <c r="C12" s="3">
        <f t="shared" ref="C12:C15" si="8">A12-$E$4+$G$4</f>
        <v>-69.4</v>
      </c>
      <c r="D12" s="3">
        <f t="shared" ref="D12:D15" si="9">A12-$E$5+$G$5</f>
        <v>-69.4</v>
      </c>
      <c r="E12" s="3">
        <f t="shared" si="4"/>
        <v>61.55</v>
      </c>
      <c r="F12" s="3">
        <f t="shared" si="5"/>
        <v>22.1</v>
      </c>
    </row>
    <row r="13">
      <c r="A13" s="3">
        <f t="shared" si="6"/>
        <v>1610</v>
      </c>
      <c r="B13" s="3">
        <f t="shared" si="7"/>
        <v>89.35</v>
      </c>
      <c r="C13" s="3">
        <f t="shared" si="8"/>
        <v>-59.4</v>
      </c>
      <c r="D13" s="3">
        <f t="shared" si="9"/>
        <v>-59.4</v>
      </c>
      <c r="E13" s="3">
        <f t="shared" ref="E13:E15" si="10">$E$6-A13+$G$6</f>
        <v>61.55</v>
      </c>
      <c r="F13" s="3">
        <f t="shared" si="5"/>
        <v>32.1</v>
      </c>
    </row>
    <row r="14">
      <c r="A14" s="3">
        <f t="shared" si="6"/>
        <v>1620</v>
      </c>
      <c r="B14" s="3">
        <f t="shared" si="7"/>
        <v>79.35</v>
      </c>
      <c r="C14" s="3">
        <f t="shared" si="8"/>
        <v>-49.4</v>
      </c>
      <c r="D14" s="3">
        <f t="shared" si="9"/>
        <v>-49.4</v>
      </c>
      <c r="E14" s="3">
        <f t="shared" si="10"/>
        <v>51.55</v>
      </c>
      <c r="F14" s="3">
        <f t="shared" si="5"/>
        <v>32.1</v>
      </c>
    </row>
    <row r="15">
      <c r="A15" s="3">
        <f t="shared" si="6"/>
        <v>1630</v>
      </c>
      <c r="B15" s="3">
        <f t="shared" si="7"/>
        <v>69.35</v>
      </c>
      <c r="C15" s="3">
        <f t="shared" si="8"/>
        <v>-39.4</v>
      </c>
      <c r="D15" s="3">
        <f t="shared" si="9"/>
        <v>-39.4</v>
      </c>
      <c r="E15" s="3">
        <f t="shared" si="10"/>
        <v>41.55</v>
      </c>
      <c r="F15" s="3">
        <f t="shared" si="5"/>
        <v>32.1</v>
      </c>
    </row>
  </sheetData>
  <mergeCells count="4">
    <mergeCell ref="A1:B1"/>
    <mergeCell ref="B4:C4"/>
    <mergeCell ref="B5:C5"/>
    <mergeCell ref="B6:C6"/>
  </mergeCells>
  <drawing r:id="rId1"/>
</worksheet>
</file>